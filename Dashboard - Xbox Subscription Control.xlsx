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stóteles\Documents\Falta copiar - DIO Excel\3_ Módulo 3 - Introdução a Dashboards\6_ Projeto - Criando um Dashboard de Vendas do Xbox com Excel\"/>
    </mc:Choice>
  </mc:AlternateContent>
  <xr:revisionPtr revIDLastSave="0" documentId="13_ncr:1_{EA6E8055-443F-4FAF-8270-F7EC7E04D649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3" l="1"/>
  <c r="D27" i="3"/>
</calcChain>
</file>

<file path=xl/sharedStrings.xml><?xml version="1.0" encoding="utf-8"?>
<sst xmlns="http://schemas.openxmlformats.org/spreadsheetml/2006/main" count="2022" uniqueCount="326">
  <si>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</si>
  <si>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</si>
  <si>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</si>
  <si>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</si>
  <si>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</si>
  <si>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</si>
  <si>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</si>
  <si>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</si>
  <si>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</si>
  <si>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</si>
  <si>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</si>
  <si>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</si>
  <si>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</si>
  <si>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</si>
  <si>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</si>
  <si>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</si>
  <si>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</si>
  <si>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</si>
  <si>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</si>
  <si>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</si>
  <si>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</si>
  <si>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</si>
  <si>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</si>
  <si>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</si>
  <si>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</si>
  <si>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</si>
  <si>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</si>
  <si>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</si>
  <si>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</si>
  <si>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</si>
  <si>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</si>
  <si>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</si>
  <si>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</si>
  <si>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</si>
  <si>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</si>
  <si>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</si>
  <si>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</si>
  <si>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</si>
  <si>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</si>
  <si>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</si>
  <si>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</si>
  <si>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</si>
  <si>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</si>
  <si>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</si>
  <si>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</si>
  <si>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</si>
  <si>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</si>
  <si>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</si>
  <si>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</si>
  <si>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</si>
  <si>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</si>
  <si>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</si>
  <si>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</si>
  <si>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</si>
  <si>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</si>
  <si>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</si>
  <si>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</si>
  <si>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</si>
  <si>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</si>
  <si>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</si>
  <si>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</si>
  <si>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</si>
  <si>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</si>
  <si>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</si>
  <si>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</si>
  <si>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</si>
  <si>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</si>
  <si>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</si>
  <si>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</si>
  <si>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</si>
  <si>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</si>
  <si>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</si>
  <si>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</si>
  <si>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</si>
  <si>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</si>
  <si>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</si>
  <si>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</si>
  <si>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</si>
  <si>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</si>
  <si>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</si>
  <si>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</si>
  <si>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</si>
  <si>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</si>
  <si>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</si>
  <si>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</si>
  <si>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</si>
  <si>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</si>
  <si>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</si>
  <si>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</si>
  <si>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</si>
  <si>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</si>
  <si>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</si>
  <si>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</si>
  <si>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</si>
  <si>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</si>
  <si>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</si>
  <si>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</si>
  <si>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</si>
  <si>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</si>
  <si>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</si>
  <si>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</si>
  <si>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</si>
  <si>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</si>
  <si>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</si>
  <si>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</si>
  <si>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</si>
  <si>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</si>
  <si>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</si>
  <si>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</si>
  <si>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</si>
  <si>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</si>
  <si>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</si>
  <si>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</si>
  <si>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</si>
  <si>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</si>
  <si>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</si>
  <si>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</si>
  <si>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</si>
  <si>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</si>
  <si>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</si>
  <si>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</si>
  <si>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</si>
  <si>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</si>
  <si>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</si>
  <si>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</si>
  <si>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</si>
  <si>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</si>
  <si>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</si>
  <si>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</si>
  <si>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</si>
  <si>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</si>
  <si>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</si>
  <si>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</si>
  <si>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</si>
  <si>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</si>
  <si>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</si>
  <si>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</si>
  <si>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</si>
  <si>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</si>
  <si>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</si>
  <si>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</si>
  <si>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</si>
  <si>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</si>
  <si>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</si>
  <si>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</si>
  <si>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</si>
  <si>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</si>
  <si>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</si>
  <si>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</si>
  <si>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</si>
  <si>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</si>
  <si>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</si>
  <si>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</si>
  <si>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</si>
  <si>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</si>
  <si>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</si>
  <si>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</si>
  <si>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</si>
  <si>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</si>
  <si>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</si>
  <si>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</si>
  <si>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</si>
  <si>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</si>
  <si>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</si>
  <si>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</si>
  <si>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</si>
  <si>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</si>
  <si>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</si>
  <si>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</si>
  <si>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</si>
  <si>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</si>
  <si>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</si>
  <si>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</si>
  <si>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</si>
  <si>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</si>
  <si>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</si>
  <si>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</si>
  <si>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</si>
  <si>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</si>
  <si>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</si>
  <si>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</si>
  <si>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</si>
  <si>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</si>
  <si>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</si>
  <si>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</si>
  <si>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</si>
  <si>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</si>
  <si>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</si>
  <si>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</si>
  <si>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</si>
  <si>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</si>
  <si>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</si>
  <si>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</si>
  <si>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</si>
  <si>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</si>
  <si>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</si>
  <si>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</si>
  <si>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</si>
  <si>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</si>
  <si>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</si>
  <si>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</si>
  <si>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</si>
  <si>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</si>
  <si>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</si>
  <si>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</si>
  <si>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</si>
  <si>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</si>
  <si>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</si>
  <si>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</si>
  <si>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</si>
  <si>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</si>
  <si>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</si>
  <si>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</si>
  <si>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</si>
  <si>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</si>
  <si>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</si>
  <si>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</si>
  <si>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</si>
  <si>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</si>
  <si>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</si>
  <si>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</si>
  <si>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</si>
  <si>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</si>
  <si>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</si>
  <si>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</si>
  <si>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</si>
  <si>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</si>
  <si>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</si>
  <si>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</si>
  <si>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</si>
  <si>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</si>
  <si>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</si>
  <si>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</si>
  <si>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</si>
  <si>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</si>
  <si>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</si>
  <si>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</si>
  <si>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</si>
  <si>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</si>
  <si>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</si>
  <si>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</si>
  <si>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</si>
  <si>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</si>
  <si>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</si>
  <si>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</si>
  <si>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</si>
  <si>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</si>
  <si>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</si>
  <si>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</si>
  <si>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</si>
  <si>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</si>
  <si>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</si>
  <si>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</si>
  <si>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</si>
  <si>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</si>
  <si>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</si>
  <si>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</si>
  <si>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</si>
  <si>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</si>
  <si>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</si>
  <si>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</si>
  <si>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</si>
  <si>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</si>
  <si>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</si>
  <si>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</si>
  <si>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</si>
  <si>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</si>
  <si>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</si>
  <si>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</si>
  <si>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</si>
  <si>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</si>
  <si>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</si>
  <si>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</si>
  <si>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</si>
  <si>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</si>
  <si>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</si>
  <si>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</si>
  <si>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</si>
  <si>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</si>
  <si>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</si>
  <si>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</si>
  <si>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</si>
  <si>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</si>
  <si>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</si>
  <si>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</si>
  <si>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</si>
  <si>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</si>
  <si>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</si>
  <si>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</si>
  <si>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</si>
  <si>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</si>
  <si>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</si>
  <si>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</si>
  <si>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</si>
  <si>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</si>
  <si>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</si>
  <si>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</si>
  <si>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</si>
  <si>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</si>
  <si>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</si>
  <si>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</si>
  <si>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</si>
  <si>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</si>
  <si>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</si>
  <si>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</si>
  <si>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</si>
  <si>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</si>
  <si>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</si>
  <si>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</si>
  <si>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</si>
  <si>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</si>
  <si>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</si>
  <si>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</si>
  <si>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</si>
  <si>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</si>
  <si>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rPr>
        <b/>
        <sz val="12"/>
        <color rgb="FF9C5700"/>
        <rFont val="Segoe UI"/>
        <family val="2"/>
      </rPr>
      <t>Pergunta de negócio:</t>
    </r>
    <r>
      <rPr>
        <sz val="12"/>
        <color rgb="FF9C5700"/>
        <rFont val="Segoe UI"/>
        <family val="2"/>
      </rPr>
      <t xml:space="preserve"> É uma pergunta respondida através de uma análise especifica de um certo conjunto de dados.</t>
    </r>
  </si>
  <si>
    <r>
      <rPr>
        <b/>
        <sz val="11"/>
        <color theme="1"/>
        <rFont val="Aptos Narrow"/>
        <family val="2"/>
        <scheme val="minor"/>
      </rPr>
      <t>Pergunta de negócio 1:</t>
    </r>
    <r>
      <rPr>
        <sz val="11"/>
        <color rgb="FF006100"/>
        <rFont val="Aptos Narrow"/>
        <family val="2"/>
        <scheme val="minor"/>
      </rPr>
      <t xml:space="preserve"> Qual o faturamento </t>
    </r>
    <r>
      <rPr>
        <b/>
        <sz val="11"/>
        <color rgb="FF006100"/>
        <rFont val="Aptos Narrow"/>
        <family val="2"/>
        <scheme val="minor"/>
      </rPr>
      <t>Total em Vendas</t>
    </r>
    <r>
      <rPr>
        <sz val="11"/>
        <color rgb="FF006100"/>
        <rFont val="Aptos Narrow"/>
        <family val="2"/>
        <scheme val="minor"/>
      </rPr>
      <t xml:space="preserve"> de planos anuais (contendo todas as assinaturas anuais)?</t>
    </r>
  </si>
  <si>
    <r>
      <rPr>
        <b/>
        <sz val="11"/>
        <color theme="1"/>
        <rFont val="Aptos Narrow"/>
        <family val="2"/>
        <scheme val="minor"/>
      </rPr>
      <t>Pergunta de negócio 2:</t>
    </r>
    <r>
      <rPr>
        <sz val="11"/>
        <color rgb="FF006100"/>
        <rFont val="Aptos Narrow"/>
        <family val="2"/>
        <scheme val="minor"/>
      </rPr>
      <t xml:space="preserve"> Qual o total de faturamento em vendas de planos anuais, separados por </t>
    </r>
    <r>
      <rPr>
        <b/>
        <sz val="11"/>
        <color rgb="FF006100"/>
        <rFont val="Aptos Narrow"/>
        <family val="2"/>
        <scheme val="minor"/>
      </rPr>
      <t>Auto Renovação</t>
    </r>
    <r>
      <rPr>
        <sz val="11"/>
        <color rgb="FF006100"/>
        <rFont val="Aptos Narrow"/>
        <family val="2"/>
        <scheme val="minor"/>
      </rPr>
      <t xml:space="preserve"> e </t>
    </r>
    <r>
      <rPr>
        <b/>
        <sz val="11"/>
        <color rgb="FF006100"/>
        <rFont val="Aptos Narrow"/>
        <family val="2"/>
        <scheme val="minor"/>
      </rPr>
      <t>Não por Auto Renovação</t>
    </r>
    <r>
      <rPr>
        <sz val="11"/>
        <color rgb="FF006100"/>
        <rFont val="Aptos Narrow"/>
        <family val="2"/>
        <scheme val="minor"/>
      </rPr>
      <t>?</t>
    </r>
  </si>
  <si>
    <t>Menus A</t>
  </si>
  <si>
    <t>Menus B</t>
  </si>
  <si>
    <r>
      <rPr>
        <b/>
        <sz val="12"/>
        <color theme="1"/>
        <rFont val="Aptos Narrow"/>
        <family val="2"/>
        <scheme val="minor"/>
      </rPr>
      <t>Pergunta de negócio 3:</t>
    </r>
    <r>
      <rPr>
        <sz val="12"/>
        <color rgb="FF006100"/>
        <rFont val="Aptos Narrow"/>
        <family val="2"/>
        <scheme val="minor"/>
      </rPr>
      <t xml:space="preserve"> Qual o total de vendas de assinaturas do</t>
    </r>
    <r>
      <rPr>
        <b/>
        <sz val="12"/>
        <color rgb="FF006100"/>
        <rFont val="Aptos Narrow"/>
        <family val="2"/>
        <scheme val="minor"/>
      </rPr>
      <t xml:space="preserve"> EA Play</t>
    </r>
    <r>
      <rPr>
        <sz val="12"/>
        <color rgb="FF006100"/>
        <rFont val="Aptos Narrow"/>
        <family val="2"/>
        <scheme val="minor"/>
      </rPr>
      <t>?</t>
    </r>
  </si>
  <si>
    <t>Soma de EA Play Season Pass</t>
  </si>
  <si>
    <r>
      <rPr>
        <b/>
        <sz val="12"/>
        <color theme="1"/>
        <rFont val="Aptos Narrow"/>
        <family val="2"/>
        <scheme val="minor"/>
      </rPr>
      <t>Pergunta de negócio 4:</t>
    </r>
    <r>
      <rPr>
        <sz val="12"/>
        <color rgb="FF006100"/>
        <rFont val="Aptos Narrow"/>
        <family val="2"/>
        <scheme val="minor"/>
      </rPr>
      <t xml:space="preserve"> Qual o total de vendas de assinaturas do</t>
    </r>
    <r>
      <rPr>
        <b/>
        <sz val="12"/>
        <color rgb="FF006100"/>
        <rFont val="Aptos Narrow"/>
        <family val="2"/>
        <scheme val="minor"/>
      </rPr>
      <t xml:space="preserve"> Minecraft Season Pass</t>
    </r>
    <r>
      <rPr>
        <sz val="12"/>
        <color rgb="FF006100"/>
        <rFont val="Aptos Narrow"/>
        <family val="2"/>
        <scheme val="minor"/>
      </rPr>
      <t>?</t>
    </r>
  </si>
  <si>
    <t>Soma de Minecraft Season Pass Price</t>
  </si>
  <si>
    <t xml:space="preserve">        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</si>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</sst>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rgb="FF9C5700"/>
      <name val="Segoe UI"/>
      <family val="2"/>
    </font>
    <font>
      <b/>
      <sz val="12"/>
      <color rgb="FF9C5700"/>
      <name val="Segoe UI"/>
      <family val="2"/>
    </font>
    <font>
      <b/>
      <sz val="11"/>
      <color rgb="FF006100"/>
      <name val="Aptos Narrow"/>
      <family val="2"/>
      <scheme val="minor"/>
    </font>
    <font>
      <b/>
      <sz val="15"/>
      <color rgb="FF22C55E"/>
      <name val="Segoe UI"/>
      <family val="2"/>
    </font>
    <font>
      <sz val="12"/>
      <color rgb="FF0061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4" fillId="8" borderId="0" xfId="3" applyAlignment="1">
      <alignment horizontal="left"/>
    </xf>
    <xf numFmtId="0" fontId="10" fillId="8" borderId="0" xfId="3" applyFont="1" applyAlignment="1">
      <alignment horizontal="left"/>
    </xf>
    <xf numFmtId="0" fontId="10" fillId="8" borderId="0" xfId="3" applyFont="1"/>
    <xf numFmtId="164" fontId="5" fillId="9" borderId="0" xfId="2" applyNumberFormat="1" applyFont="1" applyFill="1" applyAlignment="1">
      <alignment horizontal="left"/>
    </xf>
    <xf numFmtId="164" fontId="5" fillId="9" borderId="0" xfId="4" applyNumberFormat="1" applyAlignment="1">
      <alignment horizontal="left"/>
    </xf>
    <xf numFmtId="0" fontId="6" fillId="9" borderId="0" xfId="4" applyFont="1" applyAlignment="1">
      <alignment horizontal="left"/>
    </xf>
    <xf numFmtId="0" fontId="9" fillId="0" borderId="2" xfId="1" applyFont="1" applyBorder="1" applyAlignment="1">
      <alignment horizontal="left"/>
    </xf>
    <xf numFmtId="44" fontId="0" fillId="10" borderId="0" xfId="2" applyFont="1" applyFill="1" applyAlignment="1">
      <alignment horizontal="center" vertical="center" wrapText="1"/>
    </xf>
    <xf numFmtId="0" fontId="4" fillId="8" borderId="0" xfId="3"/>
    <xf numFmtId="44" fontId="0" fillId="0" borderId="0" xfId="2" applyFont="1" applyFill="1" applyAlignment="1">
      <alignment horizontal="center" vertical="center" wrapText="1"/>
    </xf>
  </cellXfs>
  <cellStyles count="5">
    <cellStyle name="Bom" xfId="3" builtinId="26"/>
    <cellStyle name="Moeda" xfId="2" builtinId="4"/>
    <cellStyle name="Neutro" xfId="4" builtinId="28"/>
    <cellStyle name="Normal" xfId="0" builtinId="0"/>
    <cellStyle name="Título 1" xfId="1" builtinId="16"/>
  </cellStyles>
  <dxfs count="27">
    <dxf>
      <font>
        <color theme="1"/>
      </font>
      <fill>
        <patternFill>
          <bgColor rgb="FFFFD961"/>
        </patternFill>
      </fill>
    </dxf>
    <dxf>
      <font>
        <color theme="1"/>
      </font>
      <fill>
        <patternFill>
          <bgColor rgb="FFFFD961"/>
        </patternFill>
      </fill>
    </dxf>
    <dxf>
      <font>
        <color theme="1"/>
      </font>
      <fill>
        <patternFill>
          <bgColor rgb="FFFFD96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D96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DE75"/>
        </patternFill>
      </fill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31E8322A-DB1B-4E2B-8104-B1DC13B38CED}">
      <tableStyleElement type="wholeTable" dxfId="26"/>
      <tableStyleElement type="headerRow" dxfId="25"/>
    </tableStyle>
  </tableStyles>
  <colors>
    <mruColors>
      <color rgb="FFFFD961"/>
      <color rgb="FFFFFFFF"/>
      <color rgb="FFFFDE75"/>
      <color rgb="FF22C55E"/>
      <color rgb="FF2AE6B1"/>
      <color rgb="FFE8E6E9"/>
      <color rgb="FF5BF6A8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base.xlsx]C̳álculos!tbld_annual_total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7-4CDA-9D46-7B75D6194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00527"/>
        <c:axId val="154202447"/>
      </c:barChart>
      <c:catAx>
        <c:axId val="15420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202447"/>
        <c:crosses val="autoZero"/>
        <c:auto val="1"/>
        <c:lblAlgn val="ctr"/>
        <c:lblOffset val="100"/>
        <c:noMultiLvlLbl val="0"/>
      </c:catAx>
      <c:valAx>
        <c:axId val="1542024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420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257174</xdr:colOff>
      <xdr:row>12</xdr:row>
      <xdr:rowOff>100202</xdr:rowOff>
    </xdr:from>
    <xdr:to>
      <xdr:col>3</xdr:col>
      <xdr:colOff>538571</xdr:colOff>
      <xdr:row>14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4" y="25290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78052</xdr:colOff>
      <xdr:row>0</xdr:row>
      <xdr:rowOff>79375</xdr:rowOff>
    </xdr:from>
    <xdr:to>
      <xdr:col>2</xdr:col>
      <xdr:colOff>489478</xdr:colOff>
      <xdr:row>2</xdr:row>
      <xdr:rowOff>210344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4CE3CA-4F61-4623-BBF5-3CBFCEDB5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3977" r="71122" b="14973"/>
        <a:stretch/>
      </xdr:blipFill>
      <xdr:spPr>
        <a:xfrm>
          <a:off x="1919552" y="79375"/>
          <a:ext cx="654843" cy="73421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12772</xdr:rowOff>
    </xdr:from>
    <xdr:to>
      <xdr:col>0</xdr:col>
      <xdr:colOff>1800000</xdr:colOff>
      <xdr:row>14</xdr:row>
      <xdr:rowOff>10583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8497BAC-4049-41EE-AC8B-440022C813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94439"/>
              <a:ext cx="1800000" cy="1564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10584</xdr:colOff>
      <xdr:row>7</xdr:row>
      <xdr:rowOff>89961</xdr:rowOff>
    </xdr:from>
    <xdr:to>
      <xdr:col>9</xdr:col>
      <xdr:colOff>497416</xdr:colOff>
      <xdr:row>14</xdr:row>
      <xdr:rowOff>132293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E5ACF019-BCEB-E680-9D44-D10A905D2387}"/>
            </a:ext>
          </a:extLst>
        </xdr:cNvPr>
        <xdr:cNvGrpSpPr/>
      </xdr:nvGrpSpPr>
      <xdr:grpSpPr>
        <a:xfrm>
          <a:off x="2095501" y="1571628"/>
          <a:ext cx="4783665" cy="1608665"/>
          <a:chOff x="2095501" y="1571628"/>
          <a:chExt cx="4783665" cy="160866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EF3F56A-83F5-BA5A-883B-8CB3E08E1741}"/>
              </a:ext>
            </a:extLst>
          </xdr:cNvPr>
          <xdr:cNvSpPr/>
        </xdr:nvSpPr>
        <xdr:spPr>
          <a:xfrm>
            <a:off x="2095502" y="1582209"/>
            <a:ext cx="4773083" cy="1598084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A8FA027-9E60-47E7-BC63-16CA984DFC6D}"/>
              </a:ext>
            </a:extLst>
          </xdr:cNvPr>
          <xdr:cNvSpPr/>
        </xdr:nvSpPr>
        <xdr:spPr>
          <a:xfrm>
            <a:off x="3697821" y="2121962"/>
            <a:ext cx="2863850" cy="931333"/>
          </a:xfrm>
          <a:prstGeom prst="roundRect">
            <a:avLst>
              <a:gd name="adj" fmla="val 873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BB3243E-C6FB-4FBD-8B2D-09AFE75612DE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18537DEE-AAEF-4624-A0B0-F3A86681E17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569" b="24479"/>
          <a:stretch/>
        </xdr:blipFill>
        <xdr:spPr>
          <a:xfrm>
            <a:off x="2561165" y="2279585"/>
            <a:ext cx="1163492" cy="616086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E6519E1B-0EA8-375D-7B44-1FAC57F3F0A1}"/>
              </a:ext>
            </a:extLst>
          </xdr:cNvPr>
          <xdr:cNvSpPr/>
        </xdr:nvSpPr>
        <xdr:spPr>
          <a:xfrm>
            <a:off x="2095501" y="1571628"/>
            <a:ext cx="4783665" cy="4021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63501</xdr:colOff>
      <xdr:row>7</xdr:row>
      <xdr:rowOff>89961</xdr:rowOff>
    </xdr:from>
    <xdr:to>
      <xdr:col>19</xdr:col>
      <xdr:colOff>116416</xdr:colOff>
      <xdr:row>14</xdr:row>
      <xdr:rowOff>132293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1A41CCB-F9D9-B284-8C94-5007F477BDCF}"/>
            </a:ext>
          </a:extLst>
        </xdr:cNvPr>
        <xdr:cNvGrpSpPr/>
      </xdr:nvGrpSpPr>
      <xdr:grpSpPr>
        <a:xfrm>
          <a:off x="7672918" y="1571628"/>
          <a:ext cx="4783665" cy="1608665"/>
          <a:chOff x="7672918" y="1571628"/>
          <a:chExt cx="4783665" cy="160866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E94CF0B-E391-8B6E-557E-747EB5477218}"/>
              </a:ext>
            </a:extLst>
          </xdr:cNvPr>
          <xdr:cNvSpPr/>
        </xdr:nvSpPr>
        <xdr:spPr>
          <a:xfrm>
            <a:off x="7672919" y="1582209"/>
            <a:ext cx="4773083" cy="1598084"/>
          </a:xfrm>
          <a:prstGeom prst="roundRect">
            <a:avLst>
              <a:gd name="adj" fmla="val 71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9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21E4597-BA44-34EB-CDA6-C399B9119956}"/>
              </a:ext>
            </a:extLst>
          </xdr:cNvPr>
          <xdr:cNvSpPr/>
        </xdr:nvSpPr>
        <xdr:spPr>
          <a:xfrm>
            <a:off x="9275238" y="2121962"/>
            <a:ext cx="2863850" cy="931333"/>
          </a:xfrm>
          <a:prstGeom prst="roundRect">
            <a:avLst>
              <a:gd name="adj" fmla="val 873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1077017-30D8-4D6E-BBC3-8B658C2F7585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R$ 3.880,00</a:t>
            </a:fld>
            <a:endParaRPr lang="pt-BR" sz="3600">
              <a:solidFill>
                <a:srgbClr val="22C55E"/>
              </a:solidFill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ADDB7BA6-49D6-F7AB-6F5D-661754DA472B}"/>
              </a:ext>
            </a:extLst>
          </xdr:cNvPr>
          <xdr:cNvSpPr/>
        </xdr:nvSpPr>
        <xdr:spPr>
          <a:xfrm>
            <a:off x="7672918" y="1571628"/>
            <a:ext cx="4783665" cy="4021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F0C497B4-7AE7-4E33-8381-9C7719FA43F5}"/>
              </a:ext>
            </a:extLst>
          </xdr:cNvPr>
          <xdr:cNvGrpSpPr/>
        </xdr:nvGrpSpPr>
        <xdr:grpSpPr>
          <a:xfrm>
            <a:off x="8085670" y="2325161"/>
            <a:ext cx="1164165" cy="524934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F29C898A-504C-F6CA-C260-B241579A8F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5FD420D4-CF5A-6DE0-8651-E6F1A13E9D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21167</xdr:colOff>
      <xdr:row>16</xdr:row>
      <xdr:rowOff>125945</xdr:rowOff>
    </xdr:from>
    <xdr:to>
      <xdr:col>19</xdr:col>
      <xdr:colOff>97917</xdr:colOff>
      <xdr:row>32</xdr:row>
      <xdr:rowOff>31750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D74CD55D-8E62-8535-29BF-5BA8C54FC699}"/>
            </a:ext>
          </a:extLst>
        </xdr:cNvPr>
        <xdr:cNvGrpSpPr/>
      </xdr:nvGrpSpPr>
      <xdr:grpSpPr>
        <a:xfrm>
          <a:off x="2106084" y="3554945"/>
          <a:ext cx="10332000" cy="2953805"/>
          <a:chOff x="2106084" y="3300944"/>
          <a:chExt cx="10332000" cy="295380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EC612B67-258F-7D9D-39EF-7F2A68AA6DA9}"/>
              </a:ext>
            </a:extLst>
          </xdr:cNvPr>
          <xdr:cNvGrpSpPr/>
        </xdr:nvGrpSpPr>
        <xdr:grpSpPr>
          <a:xfrm>
            <a:off x="2106084" y="3302000"/>
            <a:ext cx="10332000" cy="2952749"/>
            <a:chOff x="2973915" y="1375834"/>
            <a:chExt cx="4832735" cy="295274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222810C-3D63-49A8-EAEF-8AFAF34C711A}"/>
                </a:ext>
              </a:extLst>
            </xdr:cNvPr>
            <xdr:cNvSpPr/>
          </xdr:nvSpPr>
          <xdr:spPr>
            <a:xfrm>
              <a:off x="2973915" y="1375834"/>
              <a:ext cx="4832735" cy="2952749"/>
            </a:xfrm>
            <a:prstGeom prst="roundRect">
              <a:avLst>
                <a:gd name="adj" fmla="val 422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A45BA49-8897-473E-A905-CC6F0AC110CD}"/>
                </a:ext>
              </a:extLst>
            </xdr:cNvPr>
            <xdr:cNvGraphicFramePr>
              <a:graphicFrameLocks/>
            </xdr:cNvGraphicFramePr>
          </xdr:nvGraphicFramePr>
          <xdr:xfrm>
            <a:off x="3074748" y="1468917"/>
            <a:ext cx="4619384" cy="27566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F2BBDAB9-459E-4915-B993-B1B759431645}"/>
              </a:ext>
            </a:extLst>
          </xdr:cNvPr>
          <xdr:cNvSpPr/>
        </xdr:nvSpPr>
        <xdr:spPr>
          <a:xfrm>
            <a:off x="2110318" y="3300944"/>
            <a:ext cx="10325099" cy="4021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169332</xdr:colOff>
      <xdr:row>3</xdr:row>
      <xdr:rowOff>95252</xdr:rowOff>
    </xdr:from>
    <xdr:to>
      <xdr:col>0</xdr:col>
      <xdr:colOff>1682749</xdr:colOff>
      <xdr:row>6</xdr:row>
      <xdr:rowOff>21166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7BDE659F-18FE-E0F6-0F99-92921ED8186B}"/>
            </a:ext>
          </a:extLst>
        </xdr:cNvPr>
        <xdr:cNvSpPr/>
      </xdr:nvSpPr>
      <xdr:spPr>
        <a:xfrm>
          <a:off x="169332" y="1111252"/>
          <a:ext cx="1513417" cy="264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/>
              </a:solidFill>
            </a:rPr>
            <a:t>-&gt; Bem-Vindo</a:t>
          </a:r>
          <a:r>
            <a:rPr lang="pt-BR" sz="1100" b="1" baseline="0">
              <a:solidFill>
                <a:schemeClr val="bg1"/>
              </a:solidFill>
            </a:rPr>
            <a:t> Cecília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578378</xdr:colOff>
      <xdr:row>1</xdr:row>
      <xdr:rowOff>42333</xdr:rowOff>
    </xdr:from>
    <xdr:to>
      <xdr:col>0</xdr:col>
      <xdr:colOff>1273703</xdr:colOff>
      <xdr:row>2</xdr:row>
      <xdr:rowOff>324908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91EAEF78-30AE-4923-A689-E3EA87C7876F}"/>
            </a:ext>
          </a:extLst>
        </xdr:cNvPr>
        <xdr:cNvSpPr/>
      </xdr:nvSpPr>
      <xdr:spPr>
        <a:xfrm>
          <a:off x="578378" y="23283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169334</xdr:colOff>
      <xdr:row>3</xdr:row>
      <xdr:rowOff>42336</xdr:rowOff>
    </xdr:from>
    <xdr:to>
      <xdr:col>11</xdr:col>
      <xdr:colOff>10583</xdr:colOff>
      <xdr:row>5</xdr:row>
      <xdr:rowOff>105834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F70E5756-25F8-C8CE-7C4A-F2ABC6882CBC}"/>
            </a:ext>
          </a:extLst>
        </xdr:cNvPr>
        <xdr:cNvSpPr/>
      </xdr:nvSpPr>
      <xdr:spPr>
        <a:xfrm>
          <a:off x="2010834" y="1058336"/>
          <a:ext cx="5609166" cy="264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</a:t>
          </a:r>
          <a:r>
            <a:rPr lang="pt-BR" sz="1100" b="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period: 01/01/2024 a 31/12/2024 | Update date: 22/01/2026 11:44</a:t>
          </a:r>
          <a:endParaRPr lang="pt-BR" sz="1100" b="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stóteles" refreshedDate="46043.520691782411" createdVersion="8" refreshedVersion="8" minRefreshableVersion="3" recordCount="295" xr:uid="{D7EA62C0-C733-4A36-A5AB-BA71A6A68E4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038665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EA672-E12C-4EB1-B48C-4E1BCFA99FB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58DE9-B500-4245-8444-9A26A1F62876}" name="tbld_eaSeasonPlay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380ED-0B90-49CD-A4BF-474153828DF6}" name="tbld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1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E05E619-5C22-4A35-A87F-78C2EDD8D301}" sourceName="Subscription Type">
  <pivotTables>
    <pivotTable tabId="3" name="tbld_annual_total"/>
    <pivotTable tabId="3" name="tbld_eaSeasonPlay_total"/>
    <pivotTable tabId="3" name="Tabela dinâmica3"/>
  </pivotTables>
  <data>
    <tabular pivotCacheId="140386652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8142FE5-4018-415B-ADE9-A505717D3DE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4">
  <autoFilter ref="A1:M296" xr:uid="{34E0E886-4200-4B36-97B3-63DB74FF40A0}">
    <filterColumn colId="6">
      <filters>
        <filter val="Monthly"/>
      </filters>
    </filterColumn>
  </autoFilter>
  <tableColumns count="13">
    <tableColumn id="1" xr3:uid="{C4A90516-688A-46BF-9167-EA16C2A8A652}" name="Subscriber ID" dataDxfId="23"/>
    <tableColumn id="2" xr3:uid="{53DD39D0-2220-4121-9E9D-4EAA7E151C0F}" name="Name" dataDxfId="22"/>
    <tableColumn id="3" xr3:uid="{4F5FF271-4C57-4BE0-8F2C-F82C8551625C}" name="Plan" dataDxfId="21"/>
    <tableColumn id="4" xr3:uid="{8C17EB93-79B9-4E55-B8F7-BEB82F8253E9}" name="Start Date" dataDxfId="20"/>
    <tableColumn id="5" xr3:uid="{48CEDF9B-1689-482A-A828-5CCE7713264A}" name="Auto Renewal" dataDxfId="19"/>
    <tableColumn id="6" xr3:uid="{78B82374-9AA7-4E38-AE4F-78CDE6C83720}" name="Subscription Price" dataDxfId="18" dataCellStyle="Moeda"/>
    <tableColumn id="7" xr3:uid="{F2433F68-AF33-49D0-B1FB-19A396074EDE}" name="Subscription Type" dataDxfId="17"/>
    <tableColumn id="8" xr3:uid="{FD4D9C95-F6E5-4933-9068-A71FF7DF9343}" name="EA Play Season Pass" dataDxfId="16"/>
    <tableColumn id="13" xr3:uid="{978DD0D2-834E-4CE4-A39B-30976086932F}" name="EA Play Season Pass_x000a_Price" dataDxfId="15" dataCellStyle="Moeda"/>
    <tableColumn id="9" xr3:uid="{6E29F111-C395-4580-9DAD-3407D9E8B1A4}" name="Minecraft Season Pass" dataDxfId="14"/>
    <tableColumn id="10" xr3:uid="{EF544EAA-7F25-4FD5-A10E-8E62804DB9E3}" name="Minecraft Season Pass Price" dataDxfId="13" dataCellStyle="Moeda"/>
    <tableColumn id="11" xr3:uid="{7F6EB64A-1F07-4E48-9F0F-AC7D9DCD26F8}" name="Coupon Value" dataDxfId="12" dataCellStyle="Moeda"/>
    <tableColumn id="12" xr3:uid="{2B04ABC8-DE6F-426E-ADC0-D8AFC68CA58E}" name="Total Value" dataDxfId="1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L20" sqref="L2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318</v>
      </c>
    </row>
    <row r="8" spans="2:16" x14ac:dyDescent="0.25">
      <c r="B8" s="6" t="s">
        <v>5</v>
      </c>
      <c r="C8" t="s">
        <v>319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L20" sqref="L2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23">
        <v>30</v>
      </c>
      <c r="J2" s="8" t="s">
        <v>18</v>
      </c>
      <c r="K2" s="23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25" t="s">
        <v>310</v>
      </c>
      <c r="J3" s="8" t="s">
        <v>22</v>
      </c>
      <c r="K3" s="25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23">
        <v>30</v>
      </c>
      <c r="J5" s="8" t="s">
        <v>18</v>
      </c>
      <c r="K5" s="23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23">
        <v>30</v>
      </c>
      <c r="J8" s="8" t="s">
        <v>18</v>
      </c>
      <c r="K8" s="23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25" t="s">
        <v>310</v>
      </c>
      <c r="J9" s="8" t="s">
        <v>22</v>
      </c>
      <c r="K9" s="25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23">
        <v>30</v>
      </c>
      <c r="J10" s="8" t="s">
        <v>18</v>
      </c>
      <c r="K10" s="23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25">
        <v>30</v>
      </c>
      <c r="J13" s="8" t="s">
        <v>18</v>
      </c>
      <c r="K13" s="25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23">
        <v>30</v>
      </c>
      <c r="J16" s="8" t="s">
        <v>18</v>
      </c>
      <c r="K16" s="23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25" t="s">
        <v>310</v>
      </c>
      <c r="J17" s="8" t="s">
        <v>18</v>
      </c>
      <c r="K17" s="25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23">
        <v>30</v>
      </c>
      <c r="J19" s="8" t="s">
        <v>18</v>
      </c>
      <c r="K19" s="23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25" t="s">
        <v>310</v>
      </c>
      <c r="J21" s="8" t="s">
        <v>22</v>
      </c>
      <c r="K21" s="25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23">
        <v>30</v>
      </c>
      <c r="J22" s="8" t="s">
        <v>18</v>
      </c>
      <c r="K22" s="23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25">
        <v>30</v>
      </c>
      <c r="J25" s="8" t="s">
        <v>18</v>
      </c>
      <c r="K25" s="25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23">
        <v>30</v>
      </c>
      <c r="J28" s="8" t="s">
        <v>18</v>
      </c>
      <c r="K28" s="23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25" t="s">
        <v>310</v>
      </c>
      <c r="J29" s="8" t="s">
        <v>18</v>
      </c>
      <c r="K29" s="25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23">
        <v>30</v>
      </c>
      <c r="J31" s="8" t="s">
        <v>18</v>
      </c>
      <c r="K31" s="23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25" t="s">
        <v>310</v>
      </c>
      <c r="J33" s="8" t="s">
        <v>22</v>
      </c>
      <c r="K33" s="25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23">
        <v>30</v>
      </c>
      <c r="J34" s="8" t="s">
        <v>18</v>
      </c>
      <c r="K34" s="23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23">
        <v>30</v>
      </c>
      <c r="J38" s="8" t="s">
        <v>18</v>
      </c>
      <c r="K38" s="23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25" t="s">
        <v>310</v>
      </c>
      <c r="J39" s="8" t="s">
        <v>18</v>
      </c>
      <c r="K39" s="25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23">
        <v>30</v>
      </c>
      <c r="J41" s="8" t="s">
        <v>18</v>
      </c>
      <c r="K41" s="23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25" t="s">
        <v>310</v>
      </c>
      <c r="J43" s="8" t="s">
        <v>22</v>
      </c>
      <c r="K43" s="25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23">
        <v>30</v>
      </c>
      <c r="J44" s="8" t="s">
        <v>18</v>
      </c>
      <c r="K44" s="23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25">
        <v>30</v>
      </c>
      <c r="J47" s="8" t="s">
        <v>18</v>
      </c>
      <c r="K47" s="25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23">
        <v>30</v>
      </c>
      <c r="J50" s="8" t="s">
        <v>18</v>
      </c>
      <c r="K50" s="23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25" t="s">
        <v>310</v>
      </c>
      <c r="J51" s="8" t="s">
        <v>18</v>
      </c>
      <c r="K51" s="25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23">
        <v>30</v>
      </c>
      <c r="J53" s="8" t="s">
        <v>18</v>
      </c>
      <c r="K53" s="23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25" t="s">
        <v>310</v>
      </c>
      <c r="J55" s="8" t="s">
        <v>22</v>
      </c>
      <c r="K55" s="25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23">
        <v>30</v>
      </c>
      <c r="J56" s="8" t="s">
        <v>18</v>
      </c>
      <c r="K56" s="23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25">
        <v>30</v>
      </c>
      <c r="J59" s="8" t="s">
        <v>18</v>
      </c>
      <c r="K59" s="25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23">
        <v>30</v>
      </c>
      <c r="J62" s="8" t="s">
        <v>18</v>
      </c>
      <c r="K62" s="23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25" t="s">
        <v>310</v>
      </c>
      <c r="J63" s="8" t="s">
        <v>18</v>
      </c>
      <c r="K63" s="25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23">
        <v>30</v>
      </c>
      <c r="J65" s="8" t="s">
        <v>18</v>
      </c>
      <c r="K65" s="23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23">
        <v>30</v>
      </c>
      <c r="J68" s="8" t="s">
        <v>18</v>
      </c>
      <c r="K68" s="23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25" t="s">
        <v>310</v>
      </c>
      <c r="J69" s="8" t="s">
        <v>18</v>
      </c>
      <c r="K69" s="25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23">
        <v>30</v>
      </c>
      <c r="J71" s="8" t="s">
        <v>18</v>
      </c>
      <c r="K71" s="23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25" t="s">
        <v>310</v>
      </c>
      <c r="J73" s="8" t="s">
        <v>22</v>
      </c>
      <c r="K73" s="25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23">
        <v>30</v>
      </c>
      <c r="J74" s="8" t="s">
        <v>18</v>
      </c>
      <c r="K74" s="23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25">
        <v>30</v>
      </c>
      <c r="J77" s="8" t="s">
        <v>18</v>
      </c>
      <c r="K77" s="25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23">
        <v>30</v>
      </c>
      <c r="J80" s="8" t="s">
        <v>18</v>
      </c>
      <c r="K80" s="23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25" t="s">
        <v>310</v>
      </c>
      <c r="J81" s="8" t="s">
        <v>18</v>
      </c>
      <c r="K81" s="25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23">
        <v>30</v>
      </c>
      <c r="J83" s="8" t="s">
        <v>18</v>
      </c>
      <c r="K83" s="23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25" t="s">
        <v>310</v>
      </c>
      <c r="J85" s="8" t="s">
        <v>22</v>
      </c>
      <c r="K85" s="25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23">
        <v>30</v>
      </c>
      <c r="J86" s="8" t="s">
        <v>18</v>
      </c>
      <c r="K86" s="23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25">
        <v>30</v>
      </c>
      <c r="J89" s="8" t="s">
        <v>18</v>
      </c>
      <c r="K89" s="25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23">
        <v>30</v>
      </c>
      <c r="J92" s="8" t="s">
        <v>18</v>
      </c>
      <c r="K92" s="23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25" t="s">
        <v>310</v>
      </c>
      <c r="J93" s="8" t="s">
        <v>18</v>
      </c>
      <c r="K93" s="25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23">
        <v>30</v>
      </c>
      <c r="J95" s="8" t="s">
        <v>18</v>
      </c>
      <c r="K95" s="23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25" t="s">
        <v>310</v>
      </c>
      <c r="J97" s="8" t="s">
        <v>22</v>
      </c>
      <c r="K97" s="25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23">
        <v>30</v>
      </c>
      <c r="J98" s="8" t="s">
        <v>18</v>
      </c>
      <c r="K98" s="23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25" t="s">
        <v>310</v>
      </c>
      <c r="J99" s="8" t="s">
        <v>18</v>
      </c>
      <c r="K99" s="25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23">
        <v>30</v>
      </c>
      <c r="J101" s="8" t="s">
        <v>18</v>
      </c>
      <c r="K101" s="23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25" t="s">
        <v>310</v>
      </c>
      <c r="J103" s="8" t="s">
        <v>22</v>
      </c>
      <c r="K103" s="25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23">
        <v>30</v>
      </c>
      <c r="J104" s="8" t="s">
        <v>18</v>
      </c>
      <c r="K104" s="23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23">
        <v>30</v>
      </c>
      <c r="J108" s="8" t="s">
        <v>18</v>
      </c>
      <c r="K108" s="23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25" t="s">
        <v>310</v>
      </c>
      <c r="J109" s="8" t="s">
        <v>18</v>
      </c>
      <c r="K109" s="25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23">
        <v>30</v>
      </c>
      <c r="J111" s="8" t="s">
        <v>18</v>
      </c>
      <c r="K111" s="23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25" t="s">
        <v>310</v>
      </c>
      <c r="J113" s="8" t="s">
        <v>22</v>
      </c>
      <c r="K113" s="25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23">
        <v>30</v>
      </c>
      <c r="J114" s="8" t="s">
        <v>18</v>
      </c>
      <c r="K114" s="23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25">
        <v>30</v>
      </c>
      <c r="J117" s="8" t="s">
        <v>18</v>
      </c>
      <c r="K117" s="25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23">
        <v>30</v>
      </c>
      <c r="J120" s="8" t="s">
        <v>18</v>
      </c>
      <c r="K120" s="23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25" t="s">
        <v>310</v>
      </c>
      <c r="J121" s="8" t="s">
        <v>18</v>
      </c>
      <c r="K121" s="25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23">
        <v>30</v>
      </c>
      <c r="J123" s="8" t="s">
        <v>18</v>
      </c>
      <c r="K123" s="23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25" t="s">
        <v>310</v>
      </c>
      <c r="J125" s="8" t="s">
        <v>22</v>
      </c>
      <c r="K125" s="25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23">
        <v>30</v>
      </c>
      <c r="J126" s="8" t="s">
        <v>18</v>
      </c>
      <c r="K126" s="23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25">
        <v>30</v>
      </c>
      <c r="J129" s="8" t="s">
        <v>18</v>
      </c>
      <c r="K129" s="25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23">
        <v>30</v>
      </c>
      <c r="J132" s="8" t="s">
        <v>18</v>
      </c>
      <c r="K132" s="23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25" t="s">
        <v>310</v>
      </c>
      <c r="J133" s="8" t="s">
        <v>18</v>
      </c>
      <c r="K133" s="25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23">
        <v>30</v>
      </c>
      <c r="J135" s="8" t="s">
        <v>18</v>
      </c>
      <c r="K135" s="23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23">
        <v>30</v>
      </c>
      <c r="J138" s="8" t="s">
        <v>18</v>
      </c>
      <c r="K138" s="23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25" t="s">
        <v>310</v>
      </c>
      <c r="J139" s="8" t="s">
        <v>18</v>
      </c>
      <c r="K139" s="25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23">
        <v>30</v>
      </c>
      <c r="J141" s="8" t="s">
        <v>18</v>
      </c>
      <c r="K141" s="23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25" t="s">
        <v>310</v>
      </c>
      <c r="J143" s="8" t="s">
        <v>22</v>
      </c>
      <c r="K143" s="25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23">
        <v>30</v>
      </c>
      <c r="J144" s="8" t="s">
        <v>18</v>
      </c>
      <c r="K144" s="23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25">
        <v>30</v>
      </c>
      <c r="J147" s="8" t="s">
        <v>18</v>
      </c>
      <c r="K147" s="25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23">
        <v>30</v>
      </c>
      <c r="J150" s="8" t="s">
        <v>18</v>
      </c>
      <c r="K150" s="23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25" t="s">
        <v>310</v>
      </c>
      <c r="J151" s="8" t="s">
        <v>18</v>
      </c>
      <c r="K151" s="25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23">
        <v>30</v>
      </c>
      <c r="J153" s="8" t="s">
        <v>18</v>
      </c>
      <c r="K153" s="23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25" t="s">
        <v>310</v>
      </c>
      <c r="J155" s="8" t="s">
        <v>22</v>
      </c>
      <c r="K155" s="25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23">
        <v>30</v>
      </c>
      <c r="J156" s="8" t="s">
        <v>18</v>
      </c>
      <c r="K156" s="23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25">
        <v>30</v>
      </c>
      <c r="J159" s="8" t="s">
        <v>18</v>
      </c>
      <c r="K159" s="25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23">
        <v>30</v>
      </c>
      <c r="J162" s="8" t="s">
        <v>18</v>
      </c>
      <c r="K162" s="23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25" t="s">
        <v>310</v>
      </c>
      <c r="J163" s="8" t="s">
        <v>18</v>
      </c>
      <c r="K163" s="25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23">
        <v>30</v>
      </c>
      <c r="J165" s="8" t="s">
        <v>18</v>
      </c>
      <c r="K165" s="23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25" t="s">
        <v>310</v>
      </c>
      <c r="J167" s="8" t="s">
        <v>22</v>
      </c>
      <c r="K167" s="25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23">
        <v>30</v>
      </c>
      <c r="J168" s="8" t="s">
        <v>18</v>
      </c>
      <c r="K168" s="23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25">
        <v>30</v>
      </c>
      <c r="J171" s="8" t="s">
        <v>18</v>
      </c>
      <c r="K171" s="25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23">
        <v>30</v>
      </c>
      <c r="J174" s="8" t="s">
        <v>18</v>
      </c>
      <c r="K174" s="23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25" t="s">
        <v>310</v>
      </c>
      <c r="J175" s="8" t="s">
        <v>18</v>
      </c>
      <c r="K175" s="25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23">
        <v>30</v>
      </c>
      <c r="J178" s="8" t="s">
        <v>18</v>
      </c>
      <c r="K178" s="23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25" t="s">
        <v>310</v>
      </c>
      <c r="J179" s="8" t="s">
        <v>18</v>
      </c>
      <c r="K179" s="25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23">
        <v>30</v>
      </c>
      <c r="J181" s="8" t="s">
        <v>18</v>
      </c>
      <c r="K181" s="23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25" t="s">
        <v>310</v>
      </c>
      <c r="J183" s="8" t="s">
        <v>22</v>
      </c>
      <c r="K183" s="25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23">
        <v>30</v>
      </c>
      <c r="J184" s="8" t="s">
        <v>18</v>
      </c>
      <c r="K184" s="23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25">
        <v>30</v>
      </c>
      <c r="J187" s="8" t="s">
        <v>18</v>
      </c>
      <c r="K187" s="25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23">
        <v>30</v>
      </c>
      <c r="J190" s="8" t="s">
        <v>18</v>
      </c>
      <c r="K190" s="23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25" t="s">
        <v>310</v>
      </c>
      <c r="J191" s="8" t="s">
        <v>18</v>
      </c>
      <c r="K191" s="25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23">
        <v>30</v>
      </c>
      <c r="J193" s="8" t="s">
        <v>18</v>
      </c>
      <c r="K193" s="23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25" t="s">
        <v>310</v>
      </c>
      <c r="J195" s="8" t="s">
        <v>22</v>
      </c>
      <c r="K195" s="25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23">
        <v>30</v>
      </c>
      <c r="J196" s="8" t="s">
        <v>18</v>
      </c>
      <c r="K196" s="23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25">
        <v>30</v>
      </c>
      <c r="J199" s="8" t="s">
        <v>18</v>
      </c>
      <c r="K199" s="25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23">
        <v>30</v>
      </c>
      <c r="J202" s="8" t="s">
        <v>18</v>
      </c>
      <c r="K202" s="23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25" t="s">
        <v>310</v>
      </c>
      <c r="J203" s="8" t="s">
        <v>18</v>
      </c>
      <c r="K203" s="25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23">
        <v>30</v>
      </c>
      <c r="J205" s="8" t="s">
        <v>18</v>
      </c>
      <c r="K205" s="23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23">
        <v>30</v>
      </c>
      <c r="J208" s="8" t="s">
        <v>18</v>
      </c>
      <c r="K208" s="23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25" t="s">
        <v>310</v>
      </c>
      <c r="J209" s="8" t="s">
        <v>18</v>
      </c>
      <c r="K209" s="25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23">
        <v>30</v>
      </c>
      <c r="J211" s="8" t="s">
        <v>18</v>
      </c>
      <c r="K211" s="23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25" t="s">
        <v>310</v>
      </c>
      <c r="J213" s="8" t="s">
        <v>22</v>
      </c>
      <c r="K213" s="25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23">
        <v>30</v>
      </c>
      <c r="J214" s="8" t="s">
        <v>18</v>
      </c>
      <c r="K214" s="23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25">
        <v>30</v>
      </c>
      <c r="J217" s="8" t="s">
        <v>18</v>
      </c>
      <c r="K217" s="25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23">
        <v>30</v>
      </c>
      <c r="J220" s="8" t="s">
        <v>18</v>
      </c>
      <c r="K220" s="23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25" t="s">
        <v>310</v>
      </c>
      <c r="J221" s="8" t="s">
        <v>18</v>
      </c>
      <c r="K221" s="25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23">
        <v>30</v>
      </c>
      <c r="J223" s="8" t="s">
        <v>18</v>
      </c>
      <c r="K223" s="23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25" t="s">
        <v>310</v>
      </c>
      <c r="J225" s="8" t="s">
        <v>22</v>
      </c>
      <c r="K225" s="25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23">
        <v>30</v>
      </c>
      <c r="J226" s="8" t="s">
        <v>18</v>
      </c>
      <c r="K226" s="23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25">
        <v>30</v>
      </c>
      <c r="J229" s="8" t="s">
        <v>18</v>
      </c>
      <c r="K229" s="25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23">
        <v>30</v>
      </c>
      <c r="J232" s="8" t="s">
        <v>18</v>
      </c>
      <c r="K232" s="23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25" t="s">
        <v>310</v>
      </c>
      <c r="J233" s="8" t="s">
        <v>18</v>
      </c>
      <c r="K233" s="25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23">
        <v>30</v>
      </c>
      <c r="J235" s="8" t="s">
        <v>18</v>
      </c>
      <c r="K235" s="23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25" t="s">
        <v>310</v>
      </c>
      <c r="J237" s="8" t="s">
        <v>22</v>
      </c>
      <c r="K237" s="25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23">
        <v>30</v>
      </c>
      <c r="J238" s="8" t="s">
        <v>18</v>
      </c>
      <c r="K238" s="23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25">
        <v>30</v>
      </c>
      <c r="J241" s="8" t="s">
        <v>18</v>
      </c>
      <c r="K241" s="25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23">
        <v>30</v>
      </c>
      <c r="J244" s="8" t="s">
        <v>18</v>
      </c>
      <c r="K244" s="23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25" t="s">
        <v>310</v>
      </c>
      <c r="J245" s="8" t="s">
        <v>18</v>
      </c>
      <c r="K245" s="25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23">
        <v>30</v>
      </c>
      <c r="J247" s="8" t="s">
        <v>18</v>
      </c>
      <c r="K247" s="23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25" t="s">
        <v>310</v>
      </c>
      <c r="J249" s="8" t="s">
        <v>22</v>
      </c>
      <c r="K249" s="25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23">
        <v>30</v>
      </c>
      <c r="J250" s="8" t="s">
        <v>18</v>
      </c>
      <c r="K250" s="23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25">
        <v>30</v>
      </c>
      <c r="J253" s="8" t="s">
        <v>18</v>
      </c>
      <c r="K253" s="25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23">
        <v>30</v>
      </c>
      <c r="J256" s="8" t="s">
        <v>18</v>
      </c>
      <c r="K256" s="23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23">
        <v>30</v>
      </c>
      <c r="J258" s="8" t="s">
        <v>18</v>
      </c>
      <c r="K258" s="23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25" t="s">
        <v>310</v>
      </c>
      <c r="J259" s="8" t="s">
        <v>18</v>
      </c>
      <c r="K259" s="25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23">
        <v>30</v>
      </c>
      <c r="J261" s="8" t="s">
        <v>18</v>
      </c>
      <c r="K261" s="23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25" t="s">
        <v>310</v>
      </c>
      <c r="J263" s="8" t="s">
        <v>22</v>
      </c>
      <c r="K263" s="25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23">
        <v>30</v>
      </c>
      <c r="J264" s="8" t="s">
        <v>18</v>
      </c>
      <c r="K264" s="23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25">
        <v>30</v>
      </c>
      <c r="J267" s="8" t="s">
        <v>18</v>
      </c>
      <c r="K267" s="25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23">
        <v>30</v>
      </c>
      <c r="J270" s="8" t="s">
        <v>18</v>
      </c>
      <c r="K270" s="23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25" t="s">
        <v>310</v>
      </c>
      <c r="J271" s="8" t="s">
        <v>18</v>
      </c>
      <c r="K271" s="25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23">
        <v>30</v>
      </c>
      <c r="J273" s="8" t="s">
        <v>18</v>
      </c>
      <c r="K273" s="23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25" t="s">
        <v>310</v>
      </c>
      <c r="J275" s="8" t="s">
        <v>22</v>
      </c>
      <c r="K275" s="25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23">
        <v>30</v>
      </c>
      <c r="J276" s="8" t="s">
        <v>18</v>
      </c>
      <c r="K276" s="23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25">
        <v>30</v>
      </c>
      <c r="J279" s="8" t="s">
        <v>18</v>
      </c>
      <c r="K279" s="25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23">
        <v>30</v>
      </c>
      <c r="J282" s="8" t="s">
        <v>18</v>
      </c>
      <c r="K282" s="23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25" t="s">
        <v>310</v>
      </c>
      <c r="J283" s="8" t="s">
        <v>18</v>
      </c>
      <c r="K283" s="25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23">
        <v>30</v>
      </c>
      <c r="J285" s="8" t="s">
        <v>18</v>
      </c>
      <c r="K285" s="23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25" t="s">
        <v>310</v>
      </c>
      <c r="J287" s="8" t="s">
        <v>22</v>
      </c>
      <c r="K287" s="25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23">
        <v>30</v>
      </c>
      <c r="J288" s="8" t="s">
        <v>18</v>
      </c>
      <c r="K288" s="23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25">
        <v>30</v>
      </c>
      <c r="J291" s="8" t="s">
        <v>18</v>
      </c>
      <c r="K291" s="25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23">
        <v>30</v>
      </c>
      <c r="J294" s="8" t="s">
        <v>18</v>
      </c>
      <c r="K294" s="23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25" t="s">
        <v>310</v>
      </c>
      <c r="J295" s="8" t="s">
        <v>18</v>
      </c>
      <c r="K295" s="25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conditionalFormatting sqref="K3:K295">
    <cfRule type="cellIs" dxfId="7" priority="8" operator="equal">
      <formula>20</formula>
    </cfRule>
    <cfRule type="cellIs" dxfId="6" priority="6" operator="equal">
      <formula>20</formula>
    </cfRule>
    <cfRule type="cellIs" dxfId="5" priority="3" operator="equal">
      <formula>20</formula>
    </cfRule>
  </conditionalFormatting>
  <conditionalFormatting sqref="I3:I295">
    <cfRule type="cellIs" dxfId="4" priority="7" operator="equal">
      <formula>30</formula>
    </cfRule>
    <cfRule type="cellIs" dxfId="3" priority="5" operator="equal">
      <formula>30</formula>
    </cfRule>
    <cfRule type="cellIs" dxfId="2" priority="4" operator="equal">
      <formula>30</formula>
    </cfRule>
  </conditionalFormatting>
  <conditionalFormatting sqref="I2:I296">
    <cfRule type="cellIs" dxfId="1" priority="2" operator="equal">
      <formula>30</formula>
    </cfRule>
  </conditionalFormatting>
  <conditionalFormatting sqref="K2:K296">
    <cfRule type="cellIs" dxfId="0" priority="1" operator="equal">
      <formula>20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H39"/>
  <sheetViews>
    <sheetView showGridLines="0" topLeftCell="A21" workbookViewId="0">
      <selection activeCell="L20" sqref="L2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8" ht="17.25" x14ac:dyDescent="0.3">
      <c r="B2" s="21" t="s">
        <v>315</v>
      </c>
      <c r="C2" s="21"/>
      <c r="D2" s="21"/>
      <c r="E2" s="21"/>
      <c r="F2" s="21"/>
      <c r="G2" s="21"/>
      <c r="H2" s="21"/>
    </row>
    <row r="5" spans="2:8" x14ac:dyDescent="0.25">
      <c r="B5" s="16" t="s">
        <v>316</v>
      </c>
      <c r="C5" s="16"/>
      <c r="D5" s="16"/>
      <c r="E5" s="16"/>
      <c r="F5" s="16"/>
      <c r="G5" s="16"/>
    </row>
    <row r="7" spans="2:8" x14ac:dyDescent="0.25">
      <c r="B7" s="16" t="s">
        <v>317</v>
      </c>
      <c r="C7" s="16"/>
      <c r="D7" s="16"/>
      <c r="E7" s="16"/>
      <c r="F7" s="16"/>
      <c r="G7" s="16"/>
      <c r="H7" s="16"/>
    </row>
    <row r="10" spans="2:8" x14ac:dyDescent="0.25">
      <c r="B10" s="12" t="s">
        <v>15</v>
      </c>
      <c r="C10" t="s">
        <v>325</v>
      </c>
    </row>
    <row r="12" spans="2:8" x14ac:dyDescent="0.25">
      <c r="B12" s="12" t="s">
        <v>312</v>
      </c>
      <c r="C12" t="s">
        <v>314</v>
      </c>
    </row>
    <row r="13" spans="2:8" x14ac:dyDescent="0.25">
      <c r="B13" s="13" t="s">
        <v>22</v>
      </c>
      <c r="C13" s="15">
        <v>3847</v>
      </c>
    </row>
    <row r="14" spans="2:8" x14ac:dyDescent="0.25">
      <c r="B14" s="13" t="s">
        <v>18</v>
      </c>
      <c r="C14" s="15">
        <v>3786</v>
      </c>
    </row>
    <row r="15" spans="2:8" x14ac:dyDescent="0.25">
      <c r="B15" s="13" t="s">
        <v>313</v>
      </c>
      <c r="C15" s="15">
        <v>7633</v>
      </c>
    </row>
    <row r="18" spans="2:5" ht="15.75" x14ac:dyDescent="0.25">
      <c r="B18" s="17" t="s">
        <v>320</v>
      </c>
      <c r="C18" s="18"/>
      <c r="D18" s="18"/>
    </row>
    <row r="20" spans="2:5" x14ac:dyDescent="0.25">
      <c r="B20" s="12" t="s">
        <v>15</v>
      </c>
      <c r="C20" t="s">
        <v>325</v>
      </c>
    </row>
    <row r="22" spans="2:5" x14ac:dyDescent="0.25">
      <c r="B22" s="12" t="s">
        <v>312</v>
      </c>
      <c r="C22" t="s">
        <v>321</v>
      </c>
    </row>
    <row r="23" spans="2:5" x14ac:dyDescent="0.25">
      <c r="B23" s="13" t="s">
        <v>21</v>
      </c>
      <c r="C23" s="14">
        <v>0</v>
      </c>
    </row>
    <row r="24" spans="2:5" x14ac:dyDescent="0.25">
      <c r="B24" s="13" t="s">
        <v>25</v>
      </c>
      <c r="C24" s="14">
        <v>0</v>
      </c>
    </row>
    <row r="25" spans="2:5" x14ac:dyDescent="0.25">
      <c r="B25" s="13" t="s">
        <v>17</v>
      </c>
      <c r="C25" s="14">
        <v>2940</v>
      </c>
    </row>
    <row r="26" spans="2:5" x14ac:dyDescent="0.25">
      <c r="B26" s="13" t="s">
        <v>313</v>
      </c>
      <c r="C26" s="14">
        <v>2940</v>
      </c>
    </row>
    <row r="27" spans="2:5" x14ac:dyDescent="0.25">
      <c r="D27" s="19">
        <f>GETPIVOTDATA("EA Play Season Pass
Price",$B$22)</f>
        <v>2940</v>
      </c>
    </row>
    <row r="30" spans="2:5" ht="15.75" x14ac:dyDescent="0.25">
      <c r="B30" s="17" t="s">
        <v>322</v>
      </c>
      <c r="C30" s="18"/>
      <c r="D30" s="18"/>
      <c r="E30" s="24"/>
    </row>
    <row r="32" spans="2:5" x14ac:dyDescent="0.25">
      <c r="B32" s="12" t="s">
        <v>15</v>
      </c>
      <c r="C32" t="s">
        <v>325</v>
      </c>
    </row>
    <row r="34" spans="2:4" x14ac:dyDescent="0.25">
      <c r="B34" s="12" t="s">
        <v>312</v>
      </c>
      <c r="C34" t="s">
        <v>323</v>
      </c>
    </row>
    <row r="35" spans="2:4" x14ac:dyDescent="0.25">
      <c r="B35" s="13" t="s">
        <v>21</v>
      </c>
      <c r="C35" s="15">
        <v>0</v>
      </c>
    </row>
    <row r="36" spans="2:4" x14ac:dyDescent="0.25">
      <c r="B36" s="13" t="s">
        <v>25</v>
      </c>
      <c r="C36" s="15">
        <v>1920</v>
      </c>
    </row>
    <row r="37" spans="2:4" x14ac:dyDescent="0.25">
      <c r="B37" s="13" t="s">
        <v>17</v>
      </c>
      <c r="C37" s="15">
        <v>1960</v>
      </c>
    </row>
    <row r="38" spans="2:4" x14ac:dyDescent="0.25">
      <c r="B38" s="13" t="s">
        <v>313</v>
      </c>
      <c r="C38" s="15">
        <v>3880</v>
      </c>
    </row>
    <row r="39" spans="2:4" x14ac:dyDescent="0.25">
      <c r="D39" s="20">
        <f>GETPIVOTDATA("Minecraft Season Pass Price",$B$34)</f>
        <v>3880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256"/>
  <sheetViews>
    <sheetView showGridLines="0" showRowColHeaders="0" tabSelected="1" zoomScale="90" zoomScaleNormal="90" workbookViewId="0">
      <selection activeCell="U18" sqref="U18"/>
    </sheetView>
  </sheetViews>
  <sheetFormatPr defaultRowHeight="15" x14ac:dyDescent="0.25"/>
  <cols>
    <col min="1" max="1" width="27.5703125" style="4" customWidth="1"/>
    <col min="2" max="2" width="3.5703125" customWidth="1"/>
    <col min="12" max="12" width="6.5703125" customWidth="1"/>
  </cols>
  <sheetData>
    <row r="2" spans="1:20" ht="32.25" customHeight="1" thickBot="1" x14ac:dyDescent="0.5">
      <c r="C2" s="22" t="s">
        <v>324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ht="32.25" customHeight="1" thickTop="1" x14ac:dyDescent="0.25"/>
    <row r="4" spans="1:20" s="7" customFormat="1" ht="8.25" customHeight="1" x14ac:dyDescent="0.25">
      <c r="A4" s="4"/>
    </row>
    <row r="5" spans="1:20" s="7" customFormat="1" ht="7.5" customHeight="1" x14ac:dyDescent="0.25">
      <c r="A5" s="4"/>
    </row>
    <row r="6" spans="1:20" s="7" customFormat="1" ht="10.5" customHeight="1" x14ac:dyDescent="0.25">
      <c r="A6" s="4"/>
    </row>
    <row r="7" spans="1:20" s="7" customFormat="1" ht="9.75" customHeight="1" x14ac:dyDescent="0.25">
      <c r="A7" s="4"/>
    </row>
    <row r="8" spans="1:20" s="7" customFormat="1" ht="33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</sheetData>
  <mergeCells count="1">
    <mergeCell ref="C2:T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Aristóteles Carvalho</cp:lastModifiedBy>
  <dcterms:created xsi:type="dcterms:W3CDTF">2024-12-19T13:13:10Z</dcterms:created>
  <dcterms:modified xsi:type="dcterms:W3CDTF">2026-01-22T18:28:27Z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